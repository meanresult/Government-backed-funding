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664a3b8fe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천시스템" sheetId="1" r:id="R8737dc78aa344205"/>
    <x:sheet xmlns:r="http://schemas.openxmlformats.org/officeDocument/2006/relationships" name="규칙" sheetId="2" r:id="Raef9151df24a4474"/>
    <x:sheet xmlns:r="http://schemas.openxmlformats.org/officeDocument/2006/relationships" name="옵션" sheetId="3" r:id="R03a3c15a5588402d"/>
    <x:sheet xmlns:r="http://schemas.openxmlformats.org/officeDocument/2006/relationships" name="자금설명" sheetId="4" r:id="Ra8fdc4272bd04976"/>
    <x:sheet xmlns:r="http://schemas.openxmlformats.org/officeDocument/2006/relationships" name="서류안내" sheetId="5" r:id="R88df75ee174447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wrapText="1"/>
    </x:xf>
    <x:xf numFmtId="0" fontId="0" borderId="0" xfId="0" applyNumberFormat="1" applyFont="1" applyFill="0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f426b8b8f443c" /><Relationship Type="http://schemas.openxmlformats.org/officeDocument/2006/relationships/theme" Target="/xl/theme/theme1.xml" Id="R81e68086f1d34944" /><Relationship Type="http://schemas.openxmlformats.org/officeDocument/2006/relationships/sharedStrings" Target="/xl/sharedStrings.xml" Id="Re2ca6daf579440cb" /><Relationship Type="http://schemas.openxmlformats.org/officeDocument/2006/relationships/worksheet" Target="/xl/worksheets/sheet1.xml" Id="R8737dc78aa344205" /><Relationship Type="http://schemas.openxmlformats.org/officeDocument/2006/relationships/worksheet" Target="/xl/worksheets/sheet2.xml" Id="Raef9151df24a4474" /><Relationship Type="http://schemas.openxmlformats.org/officeDocument/2006/relationships/worksheet" Target="/xl/worksheets/sheet3.xml" Id="R03a3c15a5588402d" /><Relationship Type="http://schemas.openxmlformats.org/officeDocument/2006/relationships/worksheet" Target="/xl/worksheets/sheet4.xml" Id="Ra8fdc4272bd04976" /><Relationship Type="http://schemas.openxmlformats.org/officeDocument/2006/relationships/worksheet" Target="/xl/worksheets/sheet5.xml" Id="R88df75ee174447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25.149999618530273" hidden="0" customWidth="1"/>
    <x:col min="4" max="4" width="20.25" hidden="0" customWidth="1"/>
    <x:col min="5" max="5" width="60.7400016784668" hidden="0" customWidth="1"/>
  </x:cols>
  <x:sheetData>
    <x:row r="1">
      <x:c r="A1" s="2" t="str">
        <x:v>정책자금 간이 추천 + 서류안내 확장 시스템</x:v>
      </x:c>
      <x:c r="B1" s="2" t="str"/>
      <x:c r="C1" s="2" t="str"/>
      <x:c r="D1" s="2" t="str">
        <x:v>사용 방법</x:v>
      </x:c>
      <x:c r="E1" s="2" t="str">
        <x:v>왼쪽 값을 선택하면 추천 자금과 필요한 서류가 함께 갱신됩니다.</x:v>
      </x:c>
    </x:row>
    <x:row r="2">
      <x:c r="A2" s="2" t="str">
        <x:v>개인정보 최소 입력을 유지하면서 서류 추천까지 보강한 상담용 확장판입니다.</x:v>
      </x:c>
      <x:c r="B2" s="2" t="str"/>
      <x:c r="C2" s="2" t="str"/>
      <x:c r="D2" s="2" t="str">
        <x:v>유의사항</x:v>
      </x:c>
      <x:c r="E2" s="2" t="str">
        <x:v>NICE 점수는 참고용이며, 실제 신용취약자금 심사는 NCB 기준입니다.</x:v>
      </x:c>
    </x:row>
    <x:row r="3">
      <x:c r="A3" s="1"/>
      <x:c r="B3" s="1"/>
      <x:c r="C3" s="1"/>
      <x:c r="D3" s="1"/>
      <x:c r="E3" s="1"/>
    </x:row>
    <x:row r="4">
      <x:c r="A4" s="3" t="str">
        <x:v>체납 여부</x:v>
      </x:c>
      <x:c r="B4" s="5" t="str">
        <x:v>선택</x:v>
      </x:c>
      <x:c r="C4" s="1"/>
      <x:c r="D4" s="3" t="str">
        <x:v>자동 판정</x:v>
      </x:c>
      <x:c r="E4" s="5" t="str"/>
    </x:row>
    <x:row r="5">
      <x:c r="A5" s="3" t="str">
        <x:v>사업자 형태</x:v>
      </x:c>
      <x:c r="B5" s="5" t="str">
        <x:v>선택</x:v>
      </x:c>
      <x:c r="C5" s="1"/>
      <x:c r="D5" s="3" t="str">
        <x:v>1차 판정</x:v>
      </x:c>
      <x:c r="E5" s="5" t="str">
        <x:f>IF('규칙'!G11&lt;&gt;"","입력 필요",IF('규칙'!G2&lt;&gt;"","공통요건 미충족","1차 추천 가능"))</x:f>
        <x:v>입력 필요</x:v>
      </x:c>
    </x:row>
    <x:row r="6" ht="90" customHeight="1">
      <x:c r="A6" s="3" t="str">
        <x:v>공동대표 여부</x:v>
      </x:c>
      <x:c r="B6" s="5" t="str">
        <x:v>선택</x:v>
      </x:c>
      <x:c r="C6" s="1"/>
      <x:c r="D6" s="3" t="str">
        <x:v>신청 불가 사유</x:v>
      </x:c>
      <x:c r="E6" s="5" t="str">
        <x:f>IF('규칙'!G11&lt;&gt;"","• 먼저 핵심 입력값을 채워주세요: "&amp;'규칙'!G11,IF('규칙'!G2="","",'규칙'!G2))</x:f>
        <x:v>• 먼저 핵심 입력값을 채워주세요: 체납 여부, 사업자 형태, 공동대표 여부, 업종 구분, 상시근로자 수, 폐업/휴폐업 이력, NICE 신용점수 구간, 사업장 형태, 사업장 권리침해 여부, 주거 형태</x:v>
      </x:c>
    </x:row>
    <x:row r="7">
      <x:c r="A7" s="3" t="str">
        <x:v>공동대표 수</x:v>
      </x:c>
      <x:c r="B7" s="5" t="str">
        <x:v>선택</x:v>
      </x:c>
      <x:c r="C7" s="1"/>
      <x:c r="D7" s="3" t="str"/>
      <x:c r="E7" s="5" t="str"/>
    </x:row>
    <x:row r="8" ht="90" customHeight="1">
      <x:c r="A8" s="3" t="str">
        <x:v>업종 구분</x:v>
      </x:c>
      <x:c r="B8" s="5" t="str">
        <x:v>선택</x:v>
      </x:c>
      <x:c r="C8" s="1"/>
      <x:c r="D8" s="3" t="str">
        <x:v>우선 추천 자금</x:v>
      </x:c>
      <x:c r="E8" s="5" t="str">
        <x:f>IF(OR('규칙'!B2="추천",'규칙'!B3="추천",'규칙'!B4="추천",'규칙'!B5="추천",'규칙'!B6="추천",'규칙'!B7="추천"),
IF('규칙'!B2="추천","• "&amp;'규칙'!A2&amp;" - "&amp;'규칙'!C2&amp;CHAR(10),"")&amp;
IF('규칙'!B3="추천","• "&amp;'규칙'!A3&amp;" - "&amp;'규칙'!C3&amp;CHAR(10),"")&amp;
IF('규칙'!B4="추천","• "&amp;'규칙'!A4&amp;" - "&amp;'규칙'!C4&amp;CHAR(10),"")&amp;
IF('규칙'!B5="추천","• "&amp;'규칙'!A5&amp;" - "&amp;'규칙'!C5&amp;CHAR(10),"")&amp;
IF('규칙'!B6="추천","• "&amp;'규칙'!A6&amp;" - "&amp;'규칙'!C6&amp;CHAR(10),"")&amp;
IF('규칙'!B7="추천","• "&amp;'규칙'!A7&amp;" - "&amp;'규칙'!C7,""),
"현재 입력 기준 우선 추천 자금 없음")</x:f>
        <x:v>현재 입력 기준 우선 추천 자금 없음</x:v>
      </x:c>
    </x:row>
    <x:row r="9">
      <x:c r="A9" s="3" t="str">
        <x:v>상시근로자 수</x:v>
      </x:c>
      <x:c r="B9" s="5" t="str">
        <x:v>선택</x:v>
      </x:c>
      <x:c r="C9" s="1"/>
      <x:c r="D9" s="3" t="str"/>
      <x:c r="E9" s="5" t="str"/>
    </x:row>
    <x:row r="10" ht="90" customHeight="1">
      <x:c r="A10" s="3" t="str">
        <x:v>온라인 판매 여부</x:v>
      </x:c>
      <x:c r="B10" s="5" t="str">
        <x:v>아니오</x:v>
      </x:c>
      <x:c r="C10" s="1"/>
      <x:c r="D10" s="3" t="str">
        <x:v>추가 검토 자금</x:v>
      </x:c>
      <x:c r="E10" s="5" t="str">
        <x:f>IF(OR('규칙'!B2="검토",'규칙'!B3="검토",'규칙'!B4="검토",'규칙'!B5="검토",'규칙'!B6="검토",'규칙'!B7="검토"),
IF('규칙'!B2="검토","• "&amp;'규칙'!A2&amp;" - "&amp;'규칙'!C2&amp;CHAR(10),"")&amp;
IF('규칙'!B3="검토","• "&amp;'규칙'!A3&amp;" - "&amp;'규칙'!C3&amp;CHAR(10),"")&amp;
IF('규칙'!B4="검토","• "&amp;'규칙'!A4&amp;" - "&amp;'규칙'!C4&amp;CHAR(10),"")&amp;
IF('규칙'!B5="검토","• "&amp;'규칙'!A5&amp;" - "&amp;'규칙'!C5&amp;CHAR(10),"")&amp;
IF('규칙'!B6="검토","• "&amp;'규칙'!A6&amp;" - "&amp;'규칙'!C6&amp;CHAR(10),"")&amp;
IF('규칙'!B7="검토","• "&amp;'규칙'!A7&amp;" - "&amp;'규칙'!C7,""),
"현재 입력 기준 추가 검토 자금 없음")</x:f>
        <x:v>현재 입력 기준 추가 검토 자금 없음</x:v>
      </x:c>
    </x:row>
    <x:row r="11">
      <x:c r="A11" s="3" t="str">
        <x:v>수출 여부</x:v>
      </x:c>
      <x:c r="B11" s="5" t="str">
        <x:v>아니오</x:v>
      </x:c>
      <x:c r="C11" s="1"/>
      <x:c r="D11" s="3" t="str"/>
      <x:c r="E11" s="5" t="str"/>
    </x:row>
    <x:row r="12" ht="112.5" customHeight="1">
      <x:c r="A12" s="3" t="str">
        <x:v>폐업/휴폐업 이력 여부</x:v>
      </x:c>
      <x:c r="B12" s="5" t="str">
        <x:v>선택</x:v>
      </x:c>
      <x:c r="C12" s="1"/>
      <x:c r="D12" s="3" t="str">
        <x:v>추가 확인 필요사항</x:v>
      </x:c>
      <x:c r="E12" s="5" t="str">
        <x:f>IF(OR('규칙'!D2&lt;&gt;"",'규칙'!D3&lt;&gt;"",'규칙'!D4&lt;&gt;"",'규칙'!D5&lt;&gt;"",'규칙'!D6&lt;&gt;"",'규칙'!D7&lt;&gt;"",'규칙'!G12&lt;&gt;""),
IF('규칙'!D2&lt;&gt;"","• "&amp;'규칙'!A2&amp;" : "&amp;'규칙'!D2&amp;CHAR(10),"")&amp;
IF('규칙'!D3&lt;&gt;"","• "&amp;'규칙'!A3&amp;" : "&amp;'규칙'!D3&amp;CHAR(10),"")&amp;
IF('규칙'!D4&lt;&gt;"","• "&amp;'규칙'!A4&amp;" : "&amp;'규칙'!D4&amp;CHAR(10),"")&amp;
IF('규칙'!D5&lt;&gt;"","• "&amp;'규칙'!A5&amp;" : "&amp;'규칙'!D5&amp;CHAR(10),"")&amp;
IF('규칙'!D6&lt;&gt;"","• "&amp;'규칙'!A6&amp;" : "&amp;'규칙'!D6&amp;CHAR(10),"")&amp;
IF('규칙'!D7&lt;&gt;"","• "&amp;'규칙'!A7&amp;" : "&amp;'규칙'!D7&amp;CHAR(10),"")&amp;
'규칙'!G12,
"현재 입력 기준 추가 확인사항 없음")</x:f>
        <x:v>현재 입력 기준 추가 확인사항 없음</x:v>
      </x:c>
    </x:row>
    <x:row r="13">
      <x:c r="A13" s="3" t="str">
        <x:v>3년 전 매출 구간</x:v>
      </x:c>
      <x:c r="B13" s="5" t="str">
        <x:v>없음</x:v>
      </x:c>
      <x:c r="C13" s="1"/>
      <x:c r="D13" s="3" t="str"/>
      <x:c r="E13" s="5" t="str"/>
    </x:row>
    <x:row r="14" ht="127.5" customHeight="1">
      <x:c r="A14" s="3" t="str">
        <x:v>2년 전 매출 구간</x:v>
      </x:c>
      <x:c r="B14" s="5" t="str">
        <x:v>없음</x:v>
      </x:c>
      <x:c r="C14" s="1"/>
      <x:c r="D14" s="3" t="str">
        <x:v>기본 제출 권장 서류</x:v>
      </x:c>
      <x:c r="E14" s="5" t="str">
        <x:f>IF('규칙'!K2&lt;&gt;"",'규칙'!K2,"현재 입력 기준 기본 제출 권장 서류 없음")</x:f>
        <x:v>현재 입력 기준 기본 제출 권장 서류 없음</x:v>
      </x:c>
    </x:row>
    <x:row r="15">
      <x:c r="A15" s="3" t="str">
        <x:v>최근 연도 매출 구간</x:v>
      </x:c>
      <x:c r="B15" s="5" t="str">
        <x:v>없음</x:v>
      </x:c>
      <x:c r="C15" s="1"/>
      <x:c r="D15" s="3" t="str"/>
      <x:c r="E15" s="5" t="str"/>
    </x:row>
    <x:row r="16" ht="112.5" customHeight="1">
      <x:c r="A16" s="3" t="str">
        <x:v>NICE 신용점수 구간</x:v>
      </x:c>
      <x:c r="B16" s="5" t="str">
        <x:v>점수 모름</x:v>
      </x:c>
      <x:c r="C16" s="1"/>
      <x:c r="D16" s="3" t="str">
        <x:v>심사 후 또는 필요 시 제출</x:v>
      </x:c>
      <x:c r="E16" s="5" t="str">
        <x:f>IF('규칙'!K3&lt;&gt;"",'규칙'!K3,"현재 입력 기준 심사 후 또는 필요 시 제출 서류 없음")</x:f>
        <x:v>현재 입력 기준 심사 후 또는 필요 시 제출 서류 없음</x:v>
      </x:c>
    </x:row>
    <x:row r="17">
      <x:c r="A17" s="3" t="str">
        <x:v>사업장 형태</x:v>
      </x:c>
      <x:c r="B17" s="5" t="str">
        <x:v>선택</x:v>
      </x:c>
      <x:c r="C17" s="1"/>
      <x:c r="D17" s="3" t="str"/>
      <x:c r="E17" s="5" t="str"/>
    </x:row>
    <x:row r="18" ht="90" customHeight="1">
      <x:c r="A18" s="3" t="str">
        <x:v>사업장 권리침해 여부</x:v>
      </x:c>
      <x:c r="B18" s="5" t="str">
        <x:v>선택</x:v>
      </x:c>
      <x:c r="C18" s="1"/>
      <x:c r="D18" s="3" t="str">
        <x:v>신청 제한 관련 안내</x:v>
      </x:c>
      <x:c r="E18" s="5" t="str">
        <x:f>IF('규칙'!K4&lt;&gt;"",'규칙'!K4,"현재 입력 기준 신청 제한 관련 추가 안내 없음")</x:f>
        <x:v>현재 입력 기준 신청 제한 관련 추가 안내 없음</x:v>
      </x:c>
    </x:row>
    <x:row r="19">
      <x:c r="A19" s="3" t="str">
        <x:v>사업장 보증금</x:v>
      </x:c>
      <x:c r="B19" s="5"/>
      <x:c r="C19" s="1"/>
      <x:c r="D19" s="3" t="str"/>
      <x:c r="E19" s="5" t="str"/>
    </x:row>
    <x:row r="20" ht="120" customHeight="1">
      <x:c r="A20" s="3" t="str">
        <x:v>사업장 월임대료</x:v>
      </x:c>
      <x:c r="B20" s="5"/>
      <x:c r="C20" s="1"/>
      <x:c r="D20" s="3" t="str">
        <x:v>발급처/발급방법 요약</x:v>
      </x:c>
      <x:c r="E20" s="5" t="str">
        <x:f>IF('규칙'!K5&lt;&gt;"",'규칙'!K5,"서류안내 시트에서 문서별 발급처와 발급방법을 확인하세요.")</x:f>
        <x:v>• 자세한 표는 '서류안내' 시트를 확인하세요.</x:v>
      </x:c>
    </x:row>
    <x:row r="21">
      <x:c r="A21" s="3" t="str">
        <x:v>주거 형태</x:v>
      </x:c>
      <x:c r="B21" s="5" t="str">
        <x:v>선택</x:v>
      </x:c>
      <x:c r="C21" s="1"/>
      <x:c r="D21" s="3" t="str"/>
      <x:c r="E21" s="5" t="str"/>
    </x:row>
    <x:row r="22" ht="54" customHeight="1">
      <x:c r="A22" s="3" t="str">
        <x:v>주거 보증금</x:v>
      </x:c>
      <x:c r="B22" s="5"/>
      <x:c r="C22" s="1"/>
      <x:c r="D22" s="3" t="str">
        <x:v>운영 메모</x:v>
      </x:c>
      <x:c r="E22" s="5" t="str">
        <x:v>• 자세한 문서 표는 `서류안내` 시트를 확인하세요.</x:v>
      </x:c>
    </x:row>
    <x:row r="23" ht="54" customHeight="1">
      <x:c r="A23" s="3" t="str">
        <x:v>주거 월임대료</x:v>
      </x:c>
      <x:c r="B23" s="5"/>
      <x:c r="C23" s="1"/>
      <x:c r="D23" s="3" t="str"/>
      <x:c r="E23" s="5" t="str">
        <x:v>• 사업장 임대차계약서는 주된 사업장 기준으로 안내합니다.</x:v>
      </x:c>
    </x:row>
    <x:row r="24" ht="54" customHeight="1">
      <x:c r="A24" s="3" t="str">
        <x:v>시설자금 신청 여부</x:v>
      </x:c>
      <x:c r="B24" s="5" t="str">
        <x:v>아니오</x:v>
      </x:c>
      <x:c r="C24" s="1"/>
      <x:c r="D24" s="3" t="str"/>
      <x:c r="E24" s="5" t="str">
        <x:v>• 거래내역 자료는 심사 보강자료지만 상담 초기에 미리 받아도 됩니다.</x:v>
      </x:c>
    </x:row>
    <x:row r="25">
      <x:c r="A25" s="3" t="str">
        <x:v>운송·선박 영업용 임차 사용 여부</x:v>
      </x:c>
      <x:c r="B25" s="5" t="str">
        <x:v>아니오</x:v>
      </x:c>
      <x:c r="C25" s="1"/>
      <x:c r="D25" s="1"/>
      <x:c r="E25" s="1"/>
    </x:row>
    <x:row r="26">
      <x:c r="A26" s="3" t="str">
        <x:v>스마트기술 도입</x:v>
      </x:c>
      <x:c r="B26" s="5" t="str">
        <x:v>아니오</x:v>
      </x:c>
      <x:c r="C26" s="1"/>
      <x:c r="D26" s="1"/>
      <x:c r="E26" s="1"/>
    </x:row>
    <x:row r="27">
      <x:c r="A27" s="3" t="str">
        <x:v>스마트공장</x:v>
      </x:c>
      <x:c r="B27" s="5" t="str">
        <x:v>아니오</x:v>
      </x:c>
      <x:c r="C27" s="1"/>
      <x:c r="D27" s="1"/>
      <x:c r="E27" s="1"/>
    </x:row>
    <x:row r="28">
      <x:c r="A28" s="3" t="str">
        <x:v>특허/지식재산</x:v>
      </x:c>
      <x:c r="B28" s="5" t="str">
        <x:v>아니오</x:v>
      </x:c>
      <x:c r="C28" s="1"/>
      <x:c r="D28" s="1"/>
      <x:c r="E28" s="1"/>
    </x:row>
    <x:row r="29">
      <x:c r="A29" s="3" t="str">
        <x:v>ESG 인증</x:v>
      </x:c>
      <x:c r="B29" s="5" t="str">
        <x:v>아니오</x:v>
      </x:c>
      <x:c r="C29" s="1"/>
      <x:c r="D29" s="1"/>
      <x:c r="E29" s="1"/>
    </x:row>
    <x:row r="30">
      <x:c r="A30" s="3" t="str">
        <x:v>플랫폼 입점 / TOPS / POST-TOPS</x:v>
      </x:c>
      <x:c r="B30" s="5" t="str">
        <x:v>아니오</x:v>
      </x:c>
      <x:c r="C30" s="1"/>
      <x:c r="D30" s="1"/>
      <x:c r="E30" s="1"/>
    </x:row>
    <x:row r="31">
      <x:c r="A31" s="3" t="str">
        <x:v>로컬크리에이터</x:v>
      </x:c>
      <x:c r="B31" s="5" t="str">
        <x:v>아니오</x:v>
      </x:c>
      <x:c r="C31" s="1"/>
      <x:c r="D31" s="1"/>
      <x:c r="E31" s="1"/>
    </x:row>
    <x:row r="32">
      <x:c r="A32" s="3" t="str">
        <x:v>홈플러스 입점</x:v>
      </x:c>
      <x:c r="B32" s="5" t="str">
        <x:v>아니오</x:v>
      </x:c>
      <x:c r="C32" s="1"/>
      <x:c r="D32" s="1"/>
      <x:c r="E32" s="1"/>
    </x:row>
    <x:row r="33">
      <x:c r="A33" s="3" t="str">
        <x:v>재난피해</x:v>
      </x:c>
      <x:c r="B33" s="5" t="str">
        <x:v>아니오</x:v>
      </x:c>
      <x:c r="C33" s="1"/>
      <x:c r="D33" s="1"/>
      <x:c r="E33" s="1"/>
    </x:row>
    <x:row r="34">
      <x:c r="A34" s="3" t="str">
        <x:v>지정지역 소재</x:v>
      </x:c>
      <x:c r="B34" s="5" t="str">
        <x:v>아니오</x:v>
      </x:c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dataValidations count="27">
    <x:dataValidation type="list" allowBlank="0" showDropDown="0" sqref="B4">
      <x:formula1>"선택,예,아니오"</x:formula1>
    </x:dataValidation>
    <x:dataValidation type="list" allowBlank="0" showDropDown="0" sqref="B5">
      <x:formula1>"선택,개인,법인"</x:formula1>
    </x:dataValidation>
    <x:dataValidation type="list" allowBlank="0" showDropDown="0" sqref="B6">
      <x:formula1>"선택,예,아니오"</x:formula1>
    </x:dataValidation>
    <x:dataValidation type="list" allowBlank="0" showDropDown="0" sqref="B8">
      <x:formula1>"선택,제조업,도소매업,음식점업/숙박업,서비스업,운수업/건설업/광업,제외업종"</x:formula1>
    </x:dataValidation>
    <x:dataValidation type="list" allowBlank="0" showDropDown="0" sqref="B9">
      <x:formula1>"선택,5인 미만,5인 이상 10인 미만,10인 이상"</x:formula1>
    </x:dataValidation>
    <x:dataValidation type="list" allowBlank="0" showDropDown="0" sqref="B12">
      <x:formula1>"선택,예,아니오"</x:formula1>
    </x:dataValidation>
    <x:dataValidation type="list" allowBlank="0" showDropDown="0" sqref="B18">
      <x:formula1>"선택,예,아니오"</x:formula1>
    </x:dataValidation>
    <x:dataValidation type="list" allowBlank="0" showDropDown="0" sqref="B21">
      <x:formula1>"선택,자가,임차"</x:formula1>
    </x:dataValidation>
    <x:dataValidation type="list" allowBlank="0" showDropDown="0" sqref="B10">
      <x:formula1>"아니오,예"</x:formula1>
    </x:dataValidation>
    <x:dataValidation type="list" allowBlank="0" showDropDown="0" sqref="B11">
      <x:formula1>"아니오,예"</x:formula1>
    </x:dataValidation>
    <x:dataValidation type="list" allowBlank="0" showDropDown="0" sqref="B7">
      <x:formula1>"선택,1,2,3,4,5"</x:formula1>
    </x:dataValidation>
    <x:dataValidation type="list" allowBlank="0" showDropDown="0" sqref="B13">
      <x:formula1>"없음,5천만원 미만,5천만원~1.04억원 미만,1.04억원~4.5억원 미만,4.5억원~15억원 미만,15억원 이상"</x:formula1>
    </x:dataValidation>
    <x:dataValidation type="list" allowBlank="0" showDropDown="0" sqref="B14">
      <x:formula1>"없음,5천만원 미만,5천만원~1.04억원 미만,1.04억원~4.5억원 미만,4.5억원~15억원 미만,15억원 이상"</x:formula1>
    </x:dataValidation>
    <x:dataValidation type="list" allowBlank="0" showDropDown="0" sqref="B15">
      <x:formula1>"없음,5천만원 미만,5천만원~1.04억원 미만,1.04억원~4.5억원 미만,4.5억원~15억원 미만,15억원 이상"</x:formula1>
    </x:dataValidation>
    <x:dataValidation type="list" allowBlank="0" showDropDown="0" sqref="B16">
      <x:formula1>"점수 모름,700점 미만,700~749,750~799,800~839,840~899,900점 이상"</x:formula1>
    </x:dataValidation>
    <x:dataValidation type="list" allowBlank="0" showDropDown="0" sqref="B17">
      <x:formula1>"선택,자가,임차,전대,무상사용"</x:formula1>
    </x:dataValidation>
    <x:dataValidation type="list" allowBlank="0" showDropDown="0" sqref="B24">
      <x:formula1>"아니오,예"</x:formula1>
    </x:dataValidation>
    <x:dataValidation type="list" allowBlank="0" showDropDown="0" sqref="B25">
      <x:formula1>"아니오,예"</x:formula1>
    </x:dataValidation>
    <x:dataValidation type="list" allowBlank="0" showDropDown="0" sqref="B26">
      <x:formula1>"아니오,예"</x:formula1>
    </x:dataValidation>
    <x:dataValidation type="list" allowBlank="0" showDropDown="0" sqref="B27">
      <x:formula1>"아니오,예"</x:formula1>
    </x:dataValidation>
    <x:dataValidation type="list" allowBlank="0" showDropDown="0" sqref="B28">
      <x:formula1>"아니오,예"</x:formula1>
    </x:dataValidation>
    <x:dataValidation type="list" allowBlank="0" showDropDown="0" sqref="B29">
      <x:formula1>"아니오,예"</x:formula1>
    </x:dataValidation>
    <x:dataValidation type="list" allowBlank="0" showDropDown="0" sqref="B30">
      <x:formula1>"아니오,예"</x:formula1>
    </x:dataValidation>
    <x:dataValidation type="list" allowBlank="0" showDropDown="0" sqref="B31">
      <x:formula1>"아니오,예"</x:formula1>
    </x:dataValidation>
    <x:dataValidation type="list" allowBlank="0" showDropDown="0" sqref="B32">
      <x:formula1>"아니오,예"</x:formula1>
    </x:dataValidation>
    <x:dataValidation type="list" allowBlank="0" showDropDown="0" sqref="B33">
      <x:formula1>"아니오,예"</x:formula1>
    </x:dataValidation>
    <x:dataValidation type="list" allowBlank="0" showDropDown="0" sqref="B34">
      <x:formula1>"아니오,예"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3799991607666" hidden="0" customWidth="1"/>
    <x:col min="2" max="2" width="11.65999984741211" hidden="0" customWidth="1"/>
    <x:col min="3" max="3" width="38.650001525878906" hidden="0" customWidth="1"/>
    <x:col min="4" max="4" width="38.650001525878906" hidden="0" customWidth="1"/>
    <x:col min="6" max="6" width="21.469999313354492" hidden="0" customWidth="1"/>
    <x:col min="7" max="7" width="41.099998474121094" hidden="0" customWidth="1"/>
    <x:col min="10" max="10" width="22.700000762939453" hidden="0" customWidth="1"/>
    <x:col min="11" max="11" width="50.91999816894531" hidden="0" customWidth="1"/>
  </x:cols>
  <x:sheetData>
    <x:row r="1">
      <x:c r="A1" s="3" t="str">
        <x:v>자금명</x:v>
      </x:c>
      <x:c r="B1" s="3" t="str">
        <x:v>상태</x:v>
      </x:c>
      <x:c r="C1" s="3" t="str">
        <x:v>추천 사유</x:v>
      </x:c>
      <x:c r="D1" s="3" t="str">
        <x:v>추가 확인자료</x:v>
      </x:c>
      <x:c r="E1" s="1"/>
      <x:c r="F1" s="2" t="str">
        <x:v>보조계산</x:v>
      </x:c>
      <x:c r="G1" s="2" t="str">
        <x:v>값</x:v>
      </x:c>
      <x:c r="H1" s="1"/>
      <x:c r="I1" s="1"/>
      <x:c r="J1" s="2" t="str">
        <x:v>서류출력</x:v>
      </x:c>
      <x:c r="K1" s="2" t="str">
        <x:v>값</x:v>
      </x:c>
    </x:row>
    <x:row r="2">
      <x:c r="A2" s="4" t="str">
        <x:v>일시적경영애로자금(홈플러스 피해)</x:v>
      </x:c>
      <x:c r="B2" s="4" t="str">
        <x:f>IF($G$11&lt;&gt;"","입력필요",IF($G$2&lt;&gt;"","불가",IF('추천시스템'!B32="예","추천","해당없음")))</x:f>
        <x:v>입력필요</x:v>
      </x:c>
      <x:c r="C2" s="4" t="str">
        <x:f>IF(B2="추천","홈플러스 입점 피해 여부가 확인되어 전용 경영애로 자금과 가장 가깝습니다.","")</x:f>
      </x:c>
      <x:c r="D2" s="4" t="str">
        <x:f>IF(B2="추천","입점 계약자료, 사업자등록변경내역, 영업 사실 확인자료","")</x:f>
      </x:c>
      <x:c r="E2" s="1"/>
      <x:c r="F2" s="1" t="str">
        <x:v>공통 탈락 사유</x:v>
      </x:c>
      <x:c r="G2" s="1" t="str">
        <x:f>TEXTJOIN(CHAR(10),TRUE,
IF('추천시스템'!B4="예","• 국세·지방세 체납은 해소 후 신청 가능합니다.",""),
IF('추천시스템'!B8="제외업종","• 제외업종은 정책자금 신청이 어렵습니다.",""),
IF('추천시스템'!B18="예","• 사업장 권리침해가 있으면 신청이 어렵습니다.",""),
IF(AND(OR('추천시스템'!B8="도소매업",'추천시스템'!B8="음식점업/숙박업",'추천시스템'!B8="서비스업"),OR('추천시스템'!B9="5인 이상 10인 미만",'추천시스템'!B9="10인 이상")),"• 해당 업종은 상시근로자 5인 미만이어야 소상공인 기준에 맞습니다.",""),
IF(AND(OR('추천시스템'!B8="제조업",'추천시스템'!B8="운수업/건설업/광업"),'추천시스템'!B9="10인 이상"),"• 해당 업종은 상시근로자 10인 미만이어야 소상공인 기준에 맞습니다.",""))</x:f>
      </x:c>
      <x:c r="H2" s="1"/>
      <x:c r="I2" s="1"/>
      <x:c r="J2" s="1" t="str">
        <x:v>기본 제출 권장 서류</x:v>
      </x:c>
      <x:c r="K2" s="1" t="str">
        <x:f>TEXTJOIN(CHAR(10),TRUE,
IF('추천시스템'!B17="자가","• 사업장 등기부등본",""),
IF('추천시스템'!B17="자가","• 등기부 확인이 어렵거나 미등기면 토지대장, 건축물대장",""),
IF('추천시스템'!B17="임차","• 사업장 임대차계약서 (주된 사업장 기준)",""),
IF('추천시스템'!B17="임차","• 사업장 등기부등본",""),
IF('추천시스템'!B17="전대","• 사업장 임대차계약서 또는 전대차계약서 (주된 사업장 기준)",""),
IF('추천시스템'!B17="전대","• 필요 시 임대인 동의 관련 자료",""),
IF('추천시스템'!B17="무상사용","• 사업장 무상사용 사실확인서",""),
IF('추천시스템'!B25="예","• 위수탁지입계약서",""),
IF('추천시스템'!B5="법인","• 법인 인감증명서(1개월 이내)",""),
IF('추천시스템'!B5="법인","• 법인 등기사항 전부증명서(1개월 이내)",""),
IF('추천시스템'!B5="법인","• 주주명부",""),
IF('추천시스템'!B5="법인","• 주식등변동상황명세서",""),
IF('추천시스템'!B5="법인","• 고용·산재보험료 완납증명서",""),
IF('추천시스템'!B6="예","• 공동대표 "&amp;IF('추천시스템'!B7="선택","각자",'추천시스템'!B7&amp;"명")&amp;"별 거주형태 및 권리확인 서류",""))</x:f>
      </x:c>
    </x:row>
    <x:row r="3">
      <x:c r="A3" s="4" t="str">
        <x:v>일시적경영애로자금(직접대출)</x:v>
      </x:c>
      <x:c r="B3" s="4" t="str">
        <x:f>IF($G$11&lt;&gt;"","입력필요",IF($G$2&lt;&gt;"","불가",IF(AND(OR('추천시스템'!B15="5천만원 미만",'추천시스템'!B15="5천만원~1.04억원 미만"),OR('추천시스템'!B33="예",'추천시스템'!B34="예")),"추천",IF(AND(OR('추천시스템'!B15="5천만원 미만",'추천시스템'!B15="5천만원~1.04억원 미만"),$G$8=TRUE),"검토","해당없음"))))</x:f>
        <x:v>입력필요</x:v>
      </x:c>
      <x:c r="C3" s="4" t="str">
        <x:f>IF(B3="추천","저매출 구간이면서 재난피해 또는 지정지역 사유가 있어 경영애로자금 우선 검토 대상입니다.",IF(B3="검토","최근 매출 하락이 추정되고 저매출 구간이라 경영애로자금 검토 대상입니다.",""))</x:f>
      </x:c>
      <x:c r="D3" s="4" t="str">
        <x:f>IF(OR(B3="추천",B3="검토"),"매출 감소 증빙 또는 지정지역/피해 확인자료","")</x:f>
      </x:c>
      <x:c r="E3" s="1"/>
      <x:c r="F3" s="1" t="str">
        <x:v>소상공인 기준 충족</x:v>
      </x:c>
      <x:c r="G3" s="1" t="b">
        <x:f>IF(OR('추천시스템'!B8="선택",'추천시스템'!B9="선택"),FALSE,
IF(OR('추천시스템'!B8="도소매업",'추천시스템'!B8="음식점업/숙박업",'추천시스템'!B8="서비스업"),'추천시스템'!B9="5인 미만",
IF(OR('추천시스템'!B8="제조업",'추천시스템'!B8="운수업/건설업/광업"),'추천시스템'!B9&lt;&gt;"10인 이상",FALSE)))</x:f>
        <x:v>0</x:v>
      </x:c>
      <x:c r="H3" s="1"/>
      <x:c r="I3" s="1"/>
      <x:c r="J3" s="1" t="str">
        <x:v>심사 후 또는 필요 시 제출</x:v>
      </x:c>
      <x:c r="K3" s="1" t="str">
        <x:f>TEXTJOIN(CHAR(10),TRUE,
IF('추천시스템'!B24="예","• 시설투자계획서",""),
IF(OR('추천시스템'!B17="임차",'추천시스템'!B17="전대"),"• 최근 3개월 임차료 지급 은행거래명세서 또는 이체확인증",""),
IF('추천시스템'!B9&lt;&gt;"선택","• 상시근로자 보유 시 최근 3개월 임금 지급 은행거래명세서 또는 이체확인증",""),
IF('추천시스템'!B9&lt;&gt;"선택","• 상시근로자 보유 시 원천징수이행상황신고서",""))</x:f>
      </x:c>
    </x:row>
    <x:row r="4">
      <x:c r="A4" s="4" t="str">
        <x:v>신용취약소상공인자금</x:v>
      </x:c>
      <x:c r="B4" s="4" t="str">
        <x:f>IF($G$11&lt;&gt;"","입력필요",IF($G$2&lt;&gt;"","불가",IF(AND($G$7&lt;&gt;"",$G$7&lt;=839),"검토","해당없음")))</x:f>
        <x:v>입력필요</x:v>
      </x:c>
      <x:c r="C4" s="4" t="str">
        <x:f>IF(B4="검토","저신용 구간으로 입력되어 신용취약소상공인자금 후보입니다.","")</x:f>
      </x:c>
      <x:c r="D4" s="4" t="str">
        <x:f>IF(B4="검토","신용관리교육 이수와 실제 NCB 839 이하 여부 확인 필요","")</x:f>
      </x:c>
      <x:c r="E4" s="1"/>
      <x:c r="F4" s="1" t="str">
        <x:v>3년 전 매출 환산</x:v>
      </x:c>
      <x:c r="G4" s="1" t="str">
        <x:f>IF('추천시스템'!B13="없음","",IF('추천시스템'!B13="5천만원 미만",25000000,IF('추천시스템'!B13="5천만원~1.04억원 미만",77000000,IF('추천시스템'!B13="1.04억원~4.5억원 미만",277000000,IF('추천시스템'!B13="4.5억원~15억원 미만",975000000,IF('추천시스템'!B13="15억원 이상",1500000000,""))))))</x:f>
      </x:c>
      <x:c r="H4" s="1"/>
      <x:c r="I4" s="1"/>
      <x:c r="J4" s="1" t="str">
        <x:v>신청 제한 관련 안내</x:v>
      </x:c>
      <x:c r="K4" s="1" t="str">
        <x:f>TEXTJOIN(CHAR(10),TRUE,
IF('추천시스템'!B18="예","• 사업장 권리침해가 있으면 신청이 어렵습니다.",""),
IF('추천시스템'!B17="임차","• 임차 사업장은 등기부등본으로 권리관계를 먼저 확인하세요.",""),
IF('추천시스템'!B17="전대","• 전대 사업장은 전대 가능 여부와 임대인 동의 자료를 함께 확인하세요.",""))</x:f>
      </x:c>
    </x:row>
    <x:row r="5">
      <x:c r="A5" s="4" t="str">
        <x:v>상생성장지원자금</x:v>
      </x:c>
      <x:c r="B5" s="4" t="str">
        <x:f>IF($G$11&lt;&gt;"","입력필요",IF($G$2&lt;&gt;"","불가",IF('추천시스템'!B30="예","추천",IF('추천시스템'!B10="예","검토","해당없음"))))</x:f>
        <x:v>입력필요</x:v>
      </x:c>
      <x:c r="C5" s="4" t="str">
        <x:f>IF(B5="추천","플랫폼 입점 또는 TOPS/POST-TOPS 성격이 있어 상생성장지원자금과 가장 가깝습니다.",IF(B5="검토","온라인 판매 중이라 상생성장지원자금 가능성을 추가 검토할 수 있습니다.",""))</x:f>
      </x:c>
      <x:c r="D5" s="4" t="str">
        <x:f>IF(OR(B5="추천",B5="검토"),"온라인 플랫폼 입점 증빙, TOPS/POST-TOPS 또는 추천 확인자료","")</x:f>
      </x:c>
      <x:c r="E5" s="1"/>
      <x:c r="F5" s="1" t="str">
        <x:v>2년 전 매출 환산</x:v>
      </x:c>
      <x:c r="G5" s="1" t="str">
        <x:f>IF('추천시스템'!B14="없음","",IF('추천시스템'!B14="5천만원 미만",25000000,IF('추천시스템'!B14="5천만원~1.04억원 미만",77000000,IF('추천시스템'!B14="1.04억원~4.5억원 미만",277000000,IF('추천시스템'!B14="4.5억원~15억원 미만",975000000,IF('추천시스템'!B14="15억원 이상",1500000000,""))))))</x:f>
      </x:c>
      <x:c r="H5" s="1"/>
      <x:c r="I5" s="1"/>
      <x:c r="J5" s="1" t="str">
        <x:v>발급처/발급방법 요약</x:v>
      </x:c>
      <x:c r="K5" s="1" t="str">
        <x:f>TEXTJOIN(CHAR(10),TRUE,
"• 자세한 표는 '서류안내' 시트를 확인하세요.",
IF('추천시스템'!B17="자가","• 등기부등본 - 대법원 등기 민원 체계 / 인터넷등기소·등기소·무인발급기",""),
IF(OR('추천시스템'!B17="임차",'추천시스템'!B17="전대"),"• 사업장 임대차계약서 - 보유 계약서 사본 제출",""),
IF('추천시스템'!B5="법인","• 법인 등기사항 전부증명서 - 인터넷등기소 또는 등기소 발급",""),
IF('추천시스템'!B5="법인","• 법인 인감증명서 - 등기소 민원 체계, 관할 확인 필요",""),
IF('추천시스템'!B5="법인","• 고용·산재보험료 완납증명서 - 정부24 또는 고용산재보험 토탈서비스",""),
IF('추천시스템'!B24="예","• 시설투자계획서 - 서식 또는 자체 작성본 제출",""),
IF(OR('추천시스템'!B17="임차",'추천시스템'!B17="전대"),"• 임차료 이체확인증 - 거래은행 인터넷뱅킹·모바일앱·영업점",""))</x:f>
        <x:v>• 자세한 표는 '서류안내' 시트를 확인하세요.</x:v>
      </x:c>
    </x:row>
    <x:row r="6">
      <x:c r="A6" s="4" t="str">
        <x:v>혁신성장촉진자금</x:v>
      </x:c>
      <x:c r="B6" s="4" t="str">
        <x:f>IF($G$11&lt;&gt;"","입력필요",IF($G$2&lt;&gt;"","불가",IF(OR('추천시스템'!B26="예",'추천시스템'!B27="예",'추천시스템'!B11="예",'추천시스템'!B31="예",$G$9=TRUE),"추천",IF(OR('추천시스템'!B28="예",'추천시스템'!B29="예"),"검토","해당없음"))))</x:f>
        <x:v>입력필요</x:v>
      </x:c>
      <x:c r="C6" s="4" t="str">
        <x:f>IF(B6="추천","혁신성 또는 성장성 지표가 있어 혁신성장촉진자금과 부합합니다.",IF(B6="검토","특허/ESG는 가점성 요소라 혁신성장촉진자금 추가 검토 대상입니다.",""))</x:f>
      </x:c>
      <x:c r="D6" s="4" t="str">
        <x:f>IF(OR(B6="추천",B6="검토"),"스마트설비 자료, 수출실적, 스마트공장 자료, 로컬크리에이터/성장 실적 확인","")</x:f>
      </x:c>
      <x:c r="E6" s="1"/>
      <x:c r="F6" s="1" t="str">
        <x:v>최근 연도 매출 환산</x:v>
      </x:c>
      <x:c r="G6" s="1" t="str">
        <x:f>IF('추천시스템'!B15="없음","",IF('추천시스템'!B15="5천만원 미만",25000000,IF('추천시스템'!B15="5천만원~1.04억원 미만",77000000,IF('추천시스템'!B15="1.04억원~4.5억원 미만",277000000,IF('추천시스템'!B15="4.5억원~15억원 미만",975000000,IF('추천시스템'!B15="15억원 이상",1500000000,""))))))</x:f>
      </x:c>
      <x:c r="H6" s="1"/>
      <x:c r="I6" s="1"/>
      <x:c r="J6" s="1"/>
      <x:c r="K6" s="1"/>
    </x:row>
    <x:row r="7">
      <x:c r="A7" s="4" t="str">
        <x:v>재도전특별자금</x:v>
      </x:c>
      <x:c r="B7" s="4" t="str">
        <x:f>IF($G$11&lt;&gt;"","입력필요",IF($G$2&lt;&gt;"","불가",IF('추천시스템'!B12="예","검토","해당없음")))</x:f>
        <x:v>입력필요</x:v>
      </x:c>
      <x:c r="C7" s="4" t="str">
        <x:f>IF(B7="검토","폐업·휴업 이력 가능성이 있어 재도전특별자금 검토 대상입니다.","")</x:f>
      </x:c>
      <x:c r="D7" s="4" t="str">
        <x:f>IF(B7="검토","현재 영업 여부, 재창업 여부, 휴폐업 일자, 채무조정 이력 확인 필요","")</x:f>
      </x:c>
      <x:c r="E7" s="1"/>
      <x:c r="F7" s="1" t="str">
        <x:v>NICE 점수 환산</x:v>
      </x:c>
      <x:c r="G7" s="1" t="str">
        <x:f>IF('추천시스템'!B16="점수 모름","",IF('추천시스템'!B16="700점 미만",699,IF('추천시스템'!B16="700~749",749,IF('추천시스템'!B16="750~799",799,IF('추천시스템'!B16="800~839",839,IF('추천시스템'!B16="840~899",899,IF('추천시스템'!B16="900점 이상",1000,"")))))))</x:f>
      </x:c>
      <x:c r="H7" s="1"/>
      <x:c r="I7" s="1"/>
      <x:c r="J7" s="1"/>
      <x:c r="K7" s="1"/>
    </x:row>
    <x:row r="8">
      <x:c r="A8" s="1" t="str"/>
      <x:c r="B8" s="1" t="str"/>
      <x:c r="C8" s="1" t="str"/>
      <x:c r="D8" s="1" t="str"/>
      <x:c r="E8" s="1"/>
      <x:c r="F8" s="1" t="str">
        <x:v>매출 감소 추정</x:v>
      </x:c>
      <x:c r="G8" s="1" t="b">
        <x:f>AND(G5&lt;&gt;"",G6&lt;&gt;"",G6&lt;=G5*0.85)</x:f>
        <x:v>0</x:v>
      </x:c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 t="str">
        <x:v>성장 추정</x:v>
      </x:c>
      <x:c r="G9" s="1" t="b">
        <x:f>AND(G4&lt;&gt;"",G5&lt;&gt;"",G6&lt;&gt;"",G4&gt;=50000000,G5&gt;=G4*1.1,G6&gt;=G5*1.1)</x:f>
        <x:v>0</x:v>
      </x:c>
      <x:c r="H9" s="1"/>
      <x:c r="I9" s="1"/>
      <x:c r="J9" s="1"/>
      <x:c r="K9" s="1"/>
    </x:row>
    <x:row r="10">
      <x:c r="A10" s="1"/>
      <x:c r="B10" s="1"/>
      <x:c r="C10" s="1"/>
      <x:c r="D10" s="1"/>
      <x:c r="E10" s="1"/>
      <x:c r="F10" s="1" t="str">
        <x:v>공통 추천 가능</x:v>
      </x:c>
      <x:c r="G10" s="1" t="b">
        <x:f>AND(G11="",G2="")</x:f>
        <x:v>0</x:v>
      </x:c>
      <x:c r="H10" s="1"/>
      <x:c r="I10" s="1"/>
      <x:c r="J10" s="1"/>
      <x:c r="K10" s="1"/>
    </x:row>
    <x:row r="11">
      <x:c r="A11" s="1"/>
      <x:c r="B11" s="1"/>
      <x:c r="C11" s="1"/>
      <x:c r="D11" s="1"/>
      <x:c r="E11" s="1"/>
      <x:c r="F11" s="1" t="str">
        <x:v>누락 입력값</x:v>
      </x:c>
      <x:c r="G11" s="1" t="str">
        <x:f>TEXTJOIN(", ",TRUE,
IF('추천시스템'!B4="선택","체납 여부",""),
IF('추천시스템'!B5="선택","사업자 형태",""),
IF('추천시스템'!B6="선택","공동대표 여부",""),
IF(AND('추천시스템'!B6="예",'추천시스템'!B7="선택"),"공동대표 수",""),
IF('추천시스템'!B8="선택","업종 구분",""),
IF('추천시스템'!B9="선택","상시근로자 수",""),
IF('추천시스템'!B12="선택","폐업/휴폐업 이력",""),
IF('추천시스템'!B16="점수 모름","NICE 신용점수 구간",""),
IF('추천시스템'!B17="선택","사업장 형태",""),
IF('추천시스템'!B18="선택","사업장 권리침해 여부",""),
IF('추천시스템'!B21="선택","주거 형태",""))</x:f>
        <x:v>체납 여부, 사업자 형태, 공동대표 여부, 업종 구분, 상시근로자 수, 폐업/휴폐업 이력, NICE 신용점수 구간, 사업장 형태, 사업장 권리침해 여부, 주거 형태</x:v>
      </x:c>
      <x:c r="H11" s="1"/>
      <x:c r="I11" s="1"/>
      <x:c r="J11" s="1"/>
      <x:c r="K11" s="1"/>
    </x:row>
    <x:row r="12">
      <x:c r="A12" s="1"/>
      <x:c r="B12" s="1"/>
      <x:c r="C12" s="1"/>
      <x:c r="D12" s="1"/>
      <x:c r="E12" s="1"/>
      <x:c r="F12" s="1" t="str">
        <x:v>추가 확인 필요</x:v>
      </x:c>
      <x:c r="G12" s="1" t="str">
        <x:f>TEXTJOIN(CHAR(10),TRUE,
IF('추천시스템'!B6="예","• 공동대표가 있으면 각 대표자의 거주 형태와 권리관계를 별도로 확인하세요.",""),
IF(AND(OR('추천시스템'!B17="임차",'추천시스템'!B17="전대"),OR('추천시스템'!B19="",'추천시스템'!B20="")),"• 임차/전대 사업장은 보증금과 월임대료를 입력하세요.",""),
IF('추천시스템'!B17="전대","• 전대 사업장은 임대인 동의 관련 자료를 추가로 확인하세요.",""),
IF(AND('추천시스템'!B21="임차",OR('추천시스템'!B22="",'추천시스템'!B23="")),"• 임차 거주지의 보증금과 월임대료를 입력하세요.",""),
IF('추천시스템'!B12="예","• 현재 폐업 상태인지, 과거 이력인지 구분이 필요합니다. 재도전 검토 시 개업일·휴폐업일을 추가 확인하세요.",""),
IF('추천시스템'!B32="예","• 홈플러스 입점 계약자료와 영업 사실 확인자료를 준비하세요.",""),
IF('추천시스템'!B33="예","• 재난피해 확인서 등 피해 입증자료를 준비하세요.",""),
IF('추천시스템'!B34="예","• 지정지역 증빙 또는 공단 확인 가능 여부를 체크하세요.",""),
IF('추천시스템'!B24="예","• 시설자금 신청 시 시설투자계획서와 관련 견적자료를 준비하세요.",""),
IF('추천시스템'!B25="예","• 운송·선박 영업용 임차 사용이면 위수탁지입계약서를 확인하세요.",""),
IF('추천시스템'!B16&lt;&gt;"점수 모름","• NICE 점수는 참고용입니다. 실제 신용취약자금 심사는 NCB 기준을 확인해야 합니다.",""))</x:f>
      </x:c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 t="str">
        <x:v>신청 제한 메모</x:v>
      </x:c>
      <x:c r="G13" s="1" t="str">
        <x:f>TEXTJOIN(CHAR(10),TRUE,
IF('추천시스템'!B18="예","• 사업장 권리침해가 있으면 신청이 어렵습니다.",""),
IF('추천시스템'!B4="예","• 체납 상태면 먼저 체납 해소가 필요합니다.",""),
IF('추천시스템'!B17="전대","• 전대 사업장은 전대 가능 여부와 임대인 동의 자료를 함께 확인하세요.",""))</x:f>
      </x:c>
      <x:c r="H13" s="1"/>
      <x:c r="I13" s="1"/>
      <x:c r="J13" s="1"/>
      <x:c r="K1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020000457763672" hidden="0" customWidth="1"/>
    <x:col min="2" max="2" width="19.020000457763672" hidden="0" customWidth="1"/>
    <x:col min="3" max="3" width="19.020000457763672" hidden="0" customWidth="1"/>
    <x:col min="4" max="4" width="19.020000457763672" hidden="0" customWidth="1"/>
    <x:col min="5" max="5" width="19.020000457763672" hidden="0" customWidth="1"/>
    <x:col min="6" max="6" width="19.020000457763672" hidden="0" customWidth="1"/>
    <x:col min="7" max="7" width="19.020000457763672" hidden="0" customWidth="1"/>
    <x:col min="8" max="8" width="19.020000457763672" hidden="0" customWidth="1"/>
  </x:cols>
  <x:sheetData>
    <x:row r="1">
      <x:c r="A1" s="2" t="str">
        <x:v>필드</x:v>
      </x:c>
      <x:c r="B1" s="2" t="str">
        <x:v>옵션1</x:v>
      </x:c>
      <x:c r="C1" s="2" t="str">
        <x:v>옵션2</x:v>
      </x:c>
      <x:c r="D1" s="2" t="str">
        <x:v>옵션3</x:v>
      </x:c>
      <x:c r="E1" s="2" t="str">
        <x:v>옵션4</x:v>
      </x:c>
      <x:c r="F1" s="2" t="str">
        <x:v>옵션5</x:v>
      </x:c>
      <x:c r="G1" s="2" t="str">
        <x:v>옵션6</x:v>
      </x:c>
      <x:c r="H1" s="2" t="str">
        <x:v>비고</x:v>
      </x:c>
      <x:c r="I1" s="1"/>
      <x:c r="J1" s="1" t="str">
        <x:v>기타 옵션</x:v>
      </x:c>
      <x:c r="K1" s="1" t="str">
        <x:v>값</x:v>
      </x:c>
    </x:row>
    <x:row r="2">
      <x:c r="A2" s="1" t="str">
        <x:v>예/아니오(필수)</x:v>
      </x:c>
      <x:c r="B2" s="1" t="str">
        <x:v>선택</x:v>
      </x:c>
      <x:c r="C2" s="1" t="str">
        <x:v>예</x:v>
      </x:c>
      <x:c r="D2" s="1" t="str">
        <x:v>아니오</x:v>
      </x:c>
      <x:c r="E2" s="1" t="str"/>
      <x:c r="F2" s="1" t="str"/>
      <x:c r="G2" s="1" t="str"/>
      <x:c r="H2" s="1" t="str"/>
      <x:c r="I2" s="1"/>
      <x:c r="J2" s="1" t="str">
        <x:v>사업장 형태</x:v>
      </x:c>
      <x:c r="K2" s="1" t="str">
        <x:v>선택, 자가, 임차, 전대, 무상사용</x:v>
      </x:c>
    </x:row>
    <x:row r="3">
      <x:c r="A3" s="1" t="str">
        <x:v>예/아니오(체크형)</x:v>
      </x:c>
      <x:c r="B3" s="1" t="str">
        <x:v>아니오</x:v>
      </x:c>
      <x:c r="C3" s="1" t="str">
        <x:v>예</x:v>
      </x:c>
      <x:c r="D3" s="1" t="str"/>
      <x:c r="E3" s="1" t="str"/>
      <x:c r="F3" s="1" t="str"/>
      <x:c r="G3" s="1" t="str"/>
      <x:c r="H3" s="1" t="str"/>
      <x:c r="I3" s="1"/>
      <x:c r="J3" s="1" t="str">
        <x:v>주거 형태</x:v>
      </x:c>
      <x:c r="K3" s="1" t="str">
        <x:v>선택, 자가, 임차</x:v>
      </x:c>
    </x:row>
    <x:row r="4">
      <x:c r="A4" s="1" t="str">
        <x:v>사업자형태</x:v>
      </x:c>
      <x:c r="B4" s="1" t="str">
        <x:v>선택</x:v>
      </x:c>
      <x:c r="C4" s="1" t="str">
        <x:v>개인</x:v>
      </x:c>
      <x:c r="D4" s="1" t="str">
        <x:v>법인</x:v>
      </x:c>
      <x:c r="E4" s="1" t="str"/>
      <x:c r="F4" s="1" t="str"/>
      <x:c r="G4" s="1" t="str"/>
      <x:c r="H4" s="1" t="str"/>
      <x:c r="I4" s="1"/>
      <x:c r="J4" s="1" t="str">
        <x:v>체크형 기본값</x:v>
      </x:c>
      <x:c r="K4" s="1" t="str">
        <x:v>아니오</x:v>
      </x:c>
    </x:row>
    <x:row r="5">
      <x:c r="A5" s="1" t="str">
        <x:v>업종</x:v>
      </x:c>
      <x:c r="B5" s="1" t="str">
        <x:v>선택</x:v>
      </x:c>
      <x:c r="C5" s="1" t="str">
        <x:v>제조업</x:v>
      </x:c>
      <x:c r="D5" s="1" t="str">
        <x:v>도소매업</x:v>
      </x:c>
      <x:c r="E5" s="1" t="str">
        <x:v>음식점업/숙박업</x:v>
      </x:c>
      <x:c r="F5" s="1" t="str">
        <x:v>서비스업</x:v>
      </x:c>
      <x:c r="G5" s="1" t="str">
        <x:v>운수업/건설업/광업</x:v>
      </x:c>
      <x:c r="H5" s="1" t="str">
        <x:v>제외업종</x:v>
      </x:c>
      <x:c r="I5" s="1"/>
      <x:c r="J5" s="1" t="str">
        <x:v>매출 입력 원칙</x:v>
      </x:c>
      <x:c r="K5" s="1" t="str">
        <x:v>사업기간 3년 미만이면 해당 연도는 없음</x:v>
      </x:c>
    </x:row>
    <x:row r="6">
      <x:c r="A6" s="1" t="str">
        <x:v>상시근로자수</x:v>
      </x:c>
      <x:c r="B6" s="1" t="str">
        <x:v>선택</x:v>
      </x:c>
      <x:c r="C6" s="1" t="str">
        <x:v>5인 미만</x:v>
      </x:c>
      <x:c r="D6" s="1" t="str">
        <x:v>5인 이상 10인 미만</x:v>
      </x:c>
      <x:c r="E6" s="1" t="str">
        <x:v>10인 이상</x:v>
      </x:c>
      <x:c r="F6" s="1" t="str"/>
      <x:c r="G6" s="1" t="str"/>
      <x:c r="H6" s="1" t="str"/>
      <x:c r="I6" s="1"/>
      <x:c r="J6" s="1" t="str">
        <x:v>서류 출력 원칙</x:v>
      </x:c>
      <x:c r="K6" s="1" t="str">
        <x:v>기본 제출 / 심사 후 제출 분리</x:v>
      </x:c>
    </x:row>
    <x:row r="7">
      <x:c r="A7" s="1" t="str">
        <x:v>매출구간</x:v>
      </x:c>
      <x:c r="B7" s="1" t="str">
        <x:v>없음</x:v>
      </x:c>
      <x:c r="C7" s="1" t="str">
        <x:v>5천만원 미만</x:v>
      </x:c>
      <x:c r="D7" s="1" t="str">
        <x:v>5천만원~1.04억원 미만</x:v>
      </x:c>
      <x:c r="E7" s="1" t="str">
        <x:v>1.04억원~4.5억원 미만</x:v>
      </x:c>
      <x:c r="F7" s="1" t="str">
        <x:v>4.5억원~15억원 미만</x:v>
      </x:c>
      <x:c r="G7" s="1" t="str">
        <x:v>15억원 이상</x:v>
      </x:c>
      <x:c r="H7" s="1" t="str"/>
      <x:c r="I7" s="1"/>
      <x:c r="J7" s="1" t="str">
        <x:v>참고 시트</x:v>
      </x:c>
      <x:c r="K7" s="1" t="str">
        <x:v>서류안내</x:v>
      </x:c>
    </x:row>
    <x:row r="8">
      <x:c r="A8" s="1" t="str">
        <x:v>신용구간</x:v>
      </x:c>
      <x:c r="B8" s="1" t="str">
        <x:v>점수 모름</x:v>
      </x:c>
      <x:c r="C8" s="1" t="str">
        <x:v>700점 미만</x:v>
      </x:c>
      <x:c r="D8" s="1" t="str">
        <x:v>700~749</x:v>
      </x:c>
      <x:c r="E8" s="1" t="str">
        <x:v>750~799</x:v>
      </x:c>
      <x:c r="F8" s="1" t="str">
        <x:v>800~839</x:v>
      </x:c>
      <x:c r="G8" s="1" t="str">
        <x:v>840~899</x:v>
      </x:c>
      <x:c r="H8" s="1" t="str">
        <x:v>900점 이상</x:v>
      </x:c>
      <x:c r="I8" s="1"/>
      <x:c r="J8" s="1"/>
      <x:c r="K8" s="1"/>
    </x:row>
    <x:row r="9">
      <x:c r="A9" s="1" t="str">
        <x:v>공동대표수</x:v>
      </x:c>
      <x:c r="B9" s="1" t="str">
        <x:v>선택</x:v>
      </x:c>
      <x:c r="C9" s="1" t="str">
        <x:v>1</x:v>
      </x:c>
      <x:c r="D9" s="1" t="str">
        <x:v>2</x:v>
      </x:c>
      <x:c r="E9" s="1" t="str">
        <x:v>3</x:v>
      </x:c>
      <x:c r="F9" s="1" t="str">
        <x:v>4</x:v>
      </x:c>
      <x:c r="G9" s="1" t="str">
        <x:v>5</x:v>
      </x:c>
      <x:c r="H9" s="1" t="str"/>
      <x:c r="I9" s="1"/>
      <x:c r="J9" s="1"/>
      <x:c r="K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.290000915527344" hidden="0" customWidth="1"/>
    <x:col min="2" max="2" width="31.290000915527344" hidden="0" customWidth="1"/>
    <x:col min="3" max="3" width="31.290000915527344" hidden="0" customWidth="1"/>
    <x:col min="4" max="4" width="31.290000915527344" hidden="0" customWidth="1"/>
  </x:cols>
  <x:sheetData>
    <x:row r="1">
      <x:c r="A1" s="3" t="str">
        <x:v>자금명</x:v>
      </x:c>
      <x:c r="B1" s="3" t="str">
        <x:v>간이 추천 기준</x:v>
      </x:c>
      <x:c r="C1" s="3" t="str">
        <x:v>이번 파일에서 쓰는 입력값</x:v>
      </x:c>
      <x:c r="D1" s="3" t="str">
        <x:v>주의사항</x:v>
      </x:c>
    </x:row>
    <x:row r="2">
      <x:c r="A2" s="4" t="str">
        <x:v>일시적경영애로자금(홈플러스 피해)</x:v>
      </x:c>
      <x:c r="B2" s="4" t="str">
        <x:v>홈플러스 입점 여부</x:v>
      </x:c>
      <x:c r="C2" s="4" t="str">
        <x:v>홈플러스 입점</x:v>
      </x:c>
      <x:c r="D2" s="4" t="str">
        <x:v>실제 영업 사실 확인자료 필요</x:v>
      </x:c>
    </x:row>
    <x:row r="3">
      <x:c r="A3" s="4" t="str">
        <x:v>일시적경영애로자금(직접대출)</x:v>
      </x:c>
      <x:c r="B3" s="4" t="str">
        <x:v>저매출 + 피해/지정지역/매출감소 추정</x:v>
      </x:c>
      <x:c r="C3" s="4" t="str">
        <x:v>최근 연도 매출, 재난피해, 지정지역, 최근 2개년 매출구간</x:v>
      </x:c>
      <x:c r="D3" s="4" t="str">
        <x:v>실제 15% 감소는 증빙으로 다시 확인</x:v>
      </x:c>
    </x:row>
    <x:row r="4">
      <x:c r="A4" s="4" t="str">
        <x:v>신용취약소상공인자금</x:v>
      </x:c>
      <x:c r="B4" s="4" t="str">
        <x:v>저신용 구간</x:v>
      </x:c>
      <x:c r="C4" s="4" t="str">
        <x:v>NICE 신용점수 구간</x:v>
      </x:c>
      <x:c r="D4" s="4" t="str">
        <x:v>실제 공식 조건은 NCB 기준</x:v>
      </x:c>
    </x:row>
    <x:row r="5">
      <x:c r="A5" s="4" t="str">
        <x:v>상생성장지원자금</x:v>
      </x:c>
      <x:c r="B5" s="4" t="str">
        <x:v>온라인 플랫폼/성장형 여부</x:v>
      </x:c>
      <x:c r="C5" s="4" t="str">
        <x:v>온라인 판매, 플랫폼 입점/TOPS/POST-TOPS</x:v>
      </x:c>
      <x:c r="D5" s="4" t="str">
        <x:v>단순 온라인 판매는 참고용 검토</x:v>
      </x:c>
    </x:row>
    <x:row r="6">
      <x:c r="A6" s="4" t="str">
        <x:v>혁신성장촉진자금</x:v>
      </x:c>
      <x:c r="B6" s="4" t="str">
        <x:v>혁신/수출/성장 지표</x:v>
      </x:c>
      <x:c r="C6" s="4" t="str">
        <x:v>스마트기술, 스마트공장, 수출, 특허, ESG, 로컬크리에이터, 매출구간</x:v>
      </x:c>
      <x:c r="D6" s="4" t="str">
        <x:v>특허/ESG만으로는 가점 수준일 수 있음</x:v>
      </x:c>
    </x:row>
    <x:row r="7">
      <x:c r="A7" s="4" t="str">
        <x:v>재도전특별자금</x:v>
      </x:c>
      <x:c r="B7" s="4" t="str">
        <x:v>폐업·재도전 이력</x:v>
      </x:c>
      <x:c r="C7" s="4" t="str">
        <x:v>폐업/휴폐업 이력</x:v>
      </x:c>
      <x:c r="D7" s="4" t="str">
        <x:v>현재 폐업 상태인지 과거 이력인지 구분 필요</x:v>
      </x:c>
    </x:row>
    <x:row r="8">
      <x:c r="A8" s="4" t="str">
        <x:v>공통 탈락요건</x:v>
      </x:c>
      <x:c r="B8" s="4" t="str">
        <x:v>체납·제외업종·권리침해·소상공인 기준 미충족</x:v>
      </x:c>
      <x:c r="C8" s="4" t="str">
        <x:v>체납여부, 업종, 상시근로자수, 권리침해</x:v>
      </x:c>
      <x:c r="D8" s="4" t="str">
        <x:v>공식 심사에서 추가 제한 가능</x:v>
      </x:c>
    </x:row>
    <x:row r="9">
      <x:c r="A9" s="4" t="str">
        <x:v>서류 확장</x:v>
      </x:c>
      <x:c r="B9" s="4" t="str">
        <x:v>사업장/법인/시설/거래내역 서류를 함께 추천</x:v>
      </x:c>
      <x:c r="C9" s="4" t="str">
        <x:v>사업장 형태, 공동대표 수, 시설자금 여부, 영업용 임차 여부</x:v>
      </x:c>
      <x:c r="D9" s="4" t="str">
        <x:v>자세한 발급처는 서류안내 시트 참조</x:v>
      </x:c>
    </x:row>
    <x:row r="10">
      <x:c r="A10" s="4" t="str">
        <x:v>입력 최소화</x:v>
      </x:c>
      <x:c r="B10" s="4" t="str">
        <x:v>개인정보 미수집</x:v>
      </x:c>
      <x:c r="C10" s="4" t="str">
        <x:v>사업자번호/대표자명 미수집</x:v>
      </x:c>
      <x:c r="D10" s="4" t="str">
        <x:v>실제 접수 단계에서는 원본서류 필요</x:v>
      </x:c>
    </x:row>
    <x:row r="11">
      <x:c r="A11" s="4" t="str">
        <x:v>운영 팁</x:v>
      </x:c>
      <x:c r="B11" s="4" t="str">
        <x:v>상담 시 추천시스템 시트만 사용 가능</x:v>
      </x:c>
      <x:c r="C11" s="4" t="str">
        <x:v>추천시스템 시트</x:v>
      </x:c>
      <x:c r="D11" s="4" t="str">
        <x:v>규칙/옵션/자금설명/서류안내 시트는 숨김 가능</x:v>
      </x:c>
    </x:row>
    <x:row r="12">
      <x:c r="A12" s="1"/>
      <x:c r="B12" s="1"/>
      <x:c r="C12" s="1"/>
      <x:c r="D12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26.3799991607666" hidden="0" customWidth="1"/>
    <x:col min="3" max="3" width="23.93000030517578" hidden="0" customWidth="1"/>
    <x:col min="4" max="4" width="31.290000915527344" hidden="0" customWidth="1"/>
    <x:col min="5" max="5" width="17.790000915527344" hidden="0" customWidth="1"/>
    <x:col min="6" max="6" width="33.7400016784668" hidden="0" customWidth="1"/>
  </x:cols>
  <x:sheetData>
    <x:row r="1">
      <x:c r="A1" s="3" t="str">
        <x:v>문서명</x:v>
      </x:c>
      <x:c r="B1" s="3" t="str">
        <x:v>추천 조건</x:v>
      </x:c>
      <x:c r="C1" s="3" t="str">
        <x:v>발급처</x:v>
      </x:c>
      <x:c r="D1" s="3" t="str">
        <x:v>발급방법</x:v>
      </x:c>
      <x:c r="E1" s="3" t="str">
        <x:v>제출 시점</x:v>
      </x:c>
      <x:c r="F1" s="3" t="str">
        <x:v>운영 메모</x:v>
      </x:c>
    </x:row>
    <x:row r="2">
      <x:c r="A2" s="4" t="str">
        <x:v>등기부등본</x:v>
      </x:c>
      <x:c r="B2" s="4" t="str">
        <x:v>사업장 자가 또는 임차 권리관계 확인</x:v>
      </x:c>
      <x:c r="C2" s="4" t="str">
        <x:v>대법원 등기 민원 체계</x:v>
      </x:c>
      <x:c r="D2" s="4" t="str">
        <x:v>인터넷등기소, 등기소 방문, 무인발급기 등 발급</x:v>
      </x:c>
      <x:c r="E2" s="4" t="str">
        <x:v>기본 제출 권장</x:v>
      </x:c>
      <x:c r="F2" s="4" t="str">
        <x:v>임차일 때는 권리침해 여부와 함께 확인</x:v>
      </x:c>
    </x:row>
    <x:row r="3">
      <x:c r="A3" s="4" t="str">
        <x:v>토지대장</x:v>
      </x:c>
      <x:c r="B3" s="4" t="str">
        <x:v>자가 사업장 보완 확인</x:v>
      </x:c>
      <x:c r="C3" s="4" t="str">
        <x:v>정부24</x:v>
      </x:c>
      <x:c r="D3" s="4" t="str">
        <x:v>인터넷, 방문, 모바일 발급</x:v>
      </x:c>
      <x:c r="E3" s="4" t="str">
        <x:v>기본 제출 권장</x:v>
      </x:c>
      <x:c r="F3" s="4" t="str">
        <x:v>건물 미등기 또는 보완 확인 시 사용</x:v>
      </x:c>
    </x:row>
    <x:row r="4">
      <x:c r="A4" s="4" t="str">
        <x:v>건축물대장</x:v>
      </x:c>
      <x:c r="B4" s="4" t="str">
        <x:v>자가 사업장 보완 확인</x:v>
      </x:c>
      <x:c r="C4" s="4" t="str">
        <x:v>정부24</x:v>
      </x:c>
      <x:c r="D4" s="4" t="str">
        <x:v>인터넷, 방문, 모바일, 무인발급기 발급</x:v>
      </x:c>
      <x:c r="E4" s="4" t="str">
        <x:v>기본 제출 권장</x:v>
      </x:c>
      <x:c r="F4" s="4" t="str">
        <x:v>건물 미등기 또는 보완 확인 시 사용</x:v>
      </x:c>
    </x:row>
    <x:row r="5">
      <x:c r="A5" s="4" t="str">
        <x:v>사업장 임대차계약서</x:v>
      </x:c>
      <x:c r="B5" s="4" t="str">
        <x:v>사업장 임차 또는 전대</x:v>
      </x:c>
      <x:c r="C5" s="4" t="str">
        <x:v>임대인·임차인 보유 계약서</x:v>
      </x:c>
      <x:c r="D5" s="4" t="str">
        <x:v>체결한 계약서 사본 제출</x:v>
      </x:c>
      <x:c r="E5" s="4" t="str">
        <x:v>기본 제출 권장</x:v>
      </x:c>
      <x:c r="F5" s="4" t="str">
        <x:v>반드시 주된 사업장 기준으로 안내</x:v>
      </x:c>
    </x:row>
    <x:row r="6">
      <x:c r="A6" s="4" t="str">
        <x:v>사업장 무상사용 사실확인서</x:v>
      </x:c>
      <x:c r="B6" s="4" t="str">
        <x:v>사업장 무상사용</x:v>
      </x:c>
      <x:c r="C6" s="4" t="str">
        <x:v>별도 발급처 없음</x:v>
      </x:c>
      <x:c r="D6" s="4" t="str">
        <x:v>신청안내자료 서식 또는 자체 확인서 작성 후 서명</x:v>
      </x:c>
      <x:c r="E6" s="4" t="str">
        <x:v>기본 제출 권장</x:v>
      </x:c>
      <x:c r="F6" s="4" t="str">
        <x:v>무상임차 성격일 때 사용</x:v>
      </x:c>
    </x:row>
    <x:row r="7">
      <x:c r="A7" s="4" t="str">
        <x:v>위수탁지입계약서</x:v>
      </x:c>
      <x:c r="B7" s="4" t="str">
        <x:v>운송·선박 영업용 임차 사용</x:v>
      </x:c>
      <x:c r="C7" s="4" t="str">
        <x:v>계약 당사자 보유 서류</x:v>
      </x:c>
      <x:c r="D7" s="4" t="str">
        <x:v>체결한 계약서 사본 제출</x:v>
      </x:c>
      <x:c r="E7" s="4" t="str">
        <x:v>기본 제출 권장</x:v>
      </x:c>
      <x:c r="F7" s="4" t="str">
        <x:v>영업용 차량·선박 임차 사용 시</x:v>
      </x:c>
    </x:row>
    <x:row r="8">
      <x:c r="A8" s="4" t="str">
        <x:v>법인 인감증명서</x:v>
      </x:c>
      <x:c r="B8" s="4" t="str">
        <x:v>사업자 형태 법인</x:v>
      </x:c>
      <x:c r="C8" s="4" t="str">
        <x:v>등기소 민원 체계</x:v>
      </x:c>
      <x:c r="D8" s="4" t="str">
        <x:v>실무상 등기소 또는 발급 지원 무인발급기 이용</x:v>
      </x:c>
      <x:c r="E8" s="4" t="str">
        <x:v>기본 제출 권장</x:v>
      </x:c>
      <x:c r="F8" s="4" t="str">
        <x:v>관할별 발급 경로 확인 필요</x:v>
      </x:c>
    </x:row>
    <x:row r="9">
      <x:c r="A9" s="4" t="str">
        <x:v>법인 등기사항 전부증명서</x:v>
      </x:c>
      <x:c r="B9" s="4" t="str">
        <x:v>사업자 형태 법인</x:v>
      </x:c>
      <x:c r="C9" s="4" t="str">
        <x:v>대법원 등기 민원 체계</x:v>
      </x:c>
      <x:c r="D9" s="4" t="str">
        <x:v>인터넷등기소 또는 등기소 방문 발급</x:v>
      </x:c>
      <x:c r="E9" s="4" t="str">
        <x:v>기본 제출 권장</x:v>
      </x:c>
      <x:c r="F9" s="4" t="str">
        <x:v>1개월 이내 기준 안내</x:v>
      </x:c>
    </x:row>
    <x:row r="10">
      <x:c r="A10" s="4" t="str">
        <x:v>주주명부</x:v>
      </x:c>
      <x:c r="B10" s="4" t="str">
        <x:v>사업자 형태 법인</x:v>
      </x:c>
      <x:c r="C10" s="4" t="str">
        <x:v>법인 내부 보유 서류</x:v>
      </x:c>
      <x:c r="D10" s="4" t="str">
        <x:v>사내 관리 문서 또는 최근 관리본 제출</x:v>
      </x:c>
      <x:c r="E10" s="4" t="str">
        <x:v>기본 제출 권장</x:v>
      </x:c>
      <x:c r="F10" s="4" t="str">
        <x:v>최신본 기준 안내</x:v>
      </x:c>
    </x:row>
    <x:row r="11">
      <x:c r="A11" s="4" t="str">
        <x:v>주식등변동상황명세서</x:v>
      </x:c>
      <x:c r="B11" s="4" t="str">
        <x:v>사업자 형태 법인</x:v>
      </x:c>
      <x:c r="C11" s="4" t="str">
        <x:v>법인 또는 세무대리인 보유 자료</x:v>
      </x:c>
      <x:c r="D11" s="4" t="str">
        <x:v>세무신고 부속자료 사본 제출</x:v>
      </x:c>
      <x:c r="E11" s="4" t="str">
        <x:v>기본 제출 권장</x:v>
      </x:c>
      <x:c r="F11" s="4" t="str">
        <x:v>법인 추가서류</x:v>
      </x:c>
    </x:row>
    <x:row r="12">
      <x:c r="A12" s="4" t="str">
        <x:v>고용·산재보험료 완납증명서</x:v>
      </x:c>
      <x:c r="B12" s="4" t="str">
        <x:v>사업자 형태 법인</x:v>
      </x:c>
      <x:c r="C12" s="4" t="str">
        <x:v>정부24 또는 고용산재보험 토탈서비스</x:v>
      </x:c>
      <x:c r="D12" s="4" t="str">
        <x:v>인터넷, 방문 등 발급</x:v>
      </x:c>
      <x:c r="E12" s="4" t="str">
        <x:v>기본 제출 권장</x:v>
      </x:c>
      <x:c r="F12" s="4" t="str">
        <x:v>완납 여부 확인용</x:v>
      </x:c>
    </x:row>
    <x:row r="13">
      <x:c r="A13" s="4" t="str">
        <x:v>시설투자계획서</x:v>
      </x:c>
      <x:c r="B13" s="4" t="str">
        <x:v>시설자금 신청</x:v>
      </x:c>
      <x:c r="C13" s="4" t="str">
        <x:v>별도 발급처 없음</x:v>
      </x:c>
      <x:c r="D13" s="4" t="str">
        <x:v>신청안내자료 서식 또는 자체 작성본 제출</x:v>
      </x:c>
      <x:c r="E13" s="4" t="str">
        <x:v>심사 후 또는 필요 시 제출</x:v>
      </x:c>
      <x:c r="F13" s="4" t="str">
        <x:v>초기에 함께 받아도 무방</x:v>
      </x:c>
    </x:row>
    <x:row r="14">
      <x:c r="A14" s="4" t="str">
        <x:v>최근 3개월 임차료 지급 이체확인증</x:v>
      </x:c>
      <x:c r="B14" s="4" t="str">
        <x:v>사업장 임차 또는 전대</x:v>
      </x:c>
      <x:c r="C14" s="4" t="str">
        <x:v>거래은행</x:v>
      </x:c>
      <x:c r="D14" s="4" t="str">
        <x:v>인터넷뱅킹, 모바일앱, 영업점에서 이체내역 또는 거래명세 발급</x:v>
      </x:c>
      <x:c r="E14" s="4" t="str">
        <x:v>심사 후 또는 필요 시 제출</x:v>
      </x:c>
      <x:c r="F14" s="4" t="str">
        <x:v>상담 초기에 미리 받아도 되는 보강자료</x:v>
      </x:c>
    </x:row>
    <x:row r="15">
      <x:c r="A15" s="4" t="str">
        <x:v>최근 3개월 임금 지급 이체확인증</x:v>
      </x:c>
      <x:c r="B15" s="4" t="str">
        <x:v>상시근로자 보유</x:v>
      </x:c>
      <x:c r="C15" s="4" t="str">
        <x:v>거래은행</x:v>
      </x:c>
      <x:c r="D15" s="4" t="str">
        <x:v>인터넷뱅킹, 모바일앱, 영업점에서 이체내역 또는 거래명세 발급</x:v>
      </x:c>
      <x:c r="E15" s="4" t="str">
        <x:v>심사 후 또는 필요 시 제출</x:v>
      </x:c>
      <x:c r="F15" s="4" t="str">
        <x:v>원천징수이행상황신고서로 갈음 가능</x:v>
      </x:c>
    </x:row>
    <x:row r="16">
      <x:c r="A16" s="4" t="str">
        <x:v>원천징수이행상황신고서</x:v>
      </x:c>
      <x:c r="B16" s="4" t="str">
        <x:v>상시근로자 보유</x:v>
      </x:c>
      <x:c r="C16" s="4" t="str">
        <x:v>법인 또는 세무대리인 보유 자료</x:v>
      </x:c>
      <x:c r="D16" s="4" t="str">
        <x:v>홈택스 신고자료 또는 보관 사본 제출</x:v>
      </x:c>
      <x:c r="E16" s="4" t="str">
        <x:v>심사 후 또는 필요 시 제출</x:v>
      </x:c>
      <x:c r="F16" s="4" t="str">
        <x:v>임금 이체확인증 대체 또는 보강자료</x:v>
      </x:c>
    </x:row>
    <x:row r="17">
      <x:c r="A17" s="1"/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/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</x:sheetData>
  <x:pageMargins left="0.7" right="0.7" top="0.75" bottom="0.75" header="0.3" footer="0.3"/>
</x:worksheet>
</file>